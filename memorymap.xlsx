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xahmol\git\OricScreenEditorLOCI\"/>
    </mc:Choice>
  </mc:AlternateContent>
  <xr:revisionPtr revIDLastSave="0" documentId="13_ncr:1_{49F030A5-3B3F-41E0-AE91-6EFA87942C49}" xr6:coauthVersionLast="47" xr6:coauthVersionMax="47" xr10:uidLastSave="{00000000-0000-0000-0000-000000000000}"/>
  <bookViews>
    <workbookView xWindow="57480" yWindow="-120" windowWidth="38640" windowHeight="21120" xr2:uid="{FD51EA92-13D1-466E-83A2-BAF3E5CEB56D}"/>
  </bookViews>
  <sheets>
    <sheet name="Memory map" sheetId="1" r:id="rId1"/>
    <sheet name="Memory map old" sheetId="3" r:id="rId2"/>
    <sheet name="Status bar desig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7" i="1" l="1"/>
  <c r="G7" i="1" s="1"/>
  <c r="D7" i="1" s="1"/>
  <c r="E7" i="1"/>
  <c r="F6" i="1"/>
  <c r="G6" i="1" s="1"/>
  <c r="D6" i="1" s="1"/>
  <c r="E6" i="1"/>
  <c r="F13" i="1"/>
  <c r="F16" i="1"/>
  <c r="D15" i="1"/>
  <c r="E15" i="1"/>
  <c r="F15" i="1" s="1"/>
  <c r="C15" i="1" s="1"/>
  <c r="D12" i="1"/>
  <c r="H13" i="1"/>
  <c r="E9" i="1"/>
  <c r="E8" i="1"/>
  <c r="C9" i="1"/>
  <c r="F9" i="1" s="1"/>
  <c r="C8" i="1"/>
  <c r="F8" i="1" s="1"/>
  <c r="G10" i="3"/>
  <c r="D10" i="3" s="1"/>
  <c r="F10" i="3"/>
  <c r="E10" i="3"/>
  <c r="E9" i="3"/>
  <c r="C9" i="3"/>
  <c r="F9" i="3" s="1"/>
  <c r="G9" i="3" s="1"/>
  <c r="D9" i="3" s="1"/>
  <c r="E8" i="3"/>
  <c r="C8" i="3"/>
  <c r="F8" i="3" s="1"/>
  <c r="G8" i="3" s="1"/>
  <c r="G7" i="3"/>
  <c r="D7" i="3" s="1"/>
  <c r="F7" i="3"/>
  <c r="E7" i="3"/>
  <c r="F6" i="3"/>
  <c r="G6" i="3" s="1"/>
  <c r="D6" i="3" s="1"/>
  <c r="E6" i="3"/>
  <c r="E5" i="3"/>
  <c r="C5" i="3"/>
  <c r="F5" i="3" s="1"/>
  <c r="G5" i="3" s="1"/>
  <c r="D5" i="3" s="1"/>
  <c r="F4" i="3"/>
  <c r="G4" i="3" s="1"/>
  <c r="D4" i="3" s="1"/>
  <c r="E4" i="3"/>
  <c r="C4" i="3"/>
  <c r="E3" i="3"/>
  <c r="C3" i="3"/>
  <c r="F3" i="3" s="1"/>
  <c r="G3" i="3" s="1"/>
  <c r="D3" i="3" s="1"/>
  <c r="F5" i="1"/>
  <c r="E5" i="1"/>
  <c r="E11" i="1"/>
  <c r="E16" i="1" l="1"/>
  <c r="G16" i="1" s="1"/>
  <c r="G9" i="1"/>
  <c r="D9" i="1" s="1"/>
  <c r="G8" i="1"/>
  <c r="H8" i="1" s="1"/>
  <c r="H8" i="3"/>
  <c r="D8" i="3"/>
  <c r="H7" i="3"/>
  <c r="D13" i="1"/>
  <c r="G5" i="1"/>
  <c r="D5" i="1" l="1"/>
  <c r="K5" i="1"/>
  <c r="L5" i="1" s="1"/>
  <c r="B16" i="1"/>
  <c r="D16" i="1"/>
  <c r="D8" i="1"/>
  <c r="E13" i="1" l="1"/>
  <c r="B13" i="1" s="1"/>
  <c r="F12" i="1" l="1"/>
  <c r="C12" i="1" l="1"/>
  <c r="E12" i="1"/>
  <c r="F11" i="1" l="1"/>
  <c r="B12" i="1"/>
  <c r="G11" i="1" l="1"/>
  <c r="D11" i="1" s="1"/>
  <c r="C11" i="1"/>
</calcChain>
</file>

<file path=xl/sharedStrings.xml><?xml version="1.0" encoding="utf-8"?>
<sst xmlns="http://schemas.openxmlformats.org/spreadsheetml/2006/main" count="94" uniqueCount="54">
  <si>
    <t>Memory map</t>
  </si>
  <si>
    <t>Screen</t>
  </si>
  <si>
    <t>CharStd</t>
  </si>
  <si>
    <t>CharAlt</t>
  </si>
  <si>
    <t>B400</t>
  </si>
  <si>
    <t>B800</t>
  </si>
  <si>
    <t>BB80</t>
  </si>
  <si>
    <t>BFE0</t>
  </si>
  <si>
    <t>StartHex</t>
  </si>
  <si>
    <t>EndHex</t>
  </si>
  <si>
    <t>SizeHex</t>
  </si>
  <si>
    <t>StartDec</t>
  </si>
  <si>
    <t>EndDec</t>
  </si>
  <si>
    <t>SizeDec</t>
  </si>
  <si>
    <t>Window</t>
  </si>
  <si>
    <t>CharSwap</t>
  </si>
  <si>
    <t>Screenmap</t>
  </si>
  <si>
    <t>ProgramMain</t>
  </si>
  <si>
    <t>B500</t>
  </si>
  <si>
    <t>B900</t>
  </si>
  <si>
    <t>B100</t>
  </si>
  <si>
    <t>Ink</t>
  </si>
  <si>
    <t>Pap</t>
  </si>
  <si>
    <t>P</t>
  </si>
  <si>
    <t>o</t>
  </si>
  <si>
    <t>M</t>
  </si>
  <si>
    <t>d</t>
  </si>
  <si>
    <t>e</t>
  </si>
  <si>
    <t>-</t>
  </si>
  <si>
    <t>X</t>
  </si>
  <si>
    <t>Y</t>
  </si>
  <si>
    <t>,</t>
  </si>
  <si>
    <t>C</t>
  </si>
  <si>
    <t>+</t>
  </si>
  <si>
    <t>I</t>
  </si>
  <si>
    <t>S</t>
  </si>
  <si>
    <t>D</t>
  </si>
  <si>
    <t>B</t>
  </si>
  <si>
    <t>Free</t>
  </si>
  <si>
    <t>C000</t>
  </si>
  <si>
    <t>AA00</t>
  </si>
  <si>
    <t>Charset Std</t>
  </si>
  <si>
    <t>Charset Alt</t>
  </si>
  <si>
    <t>FFFF</t>
  </si>
  <si>
    <t>Charset Swap</t>
  </si>
  <si>
    <t>chars</t>
  </si>
  <si>
    <t>lines of 40 chars</t>
  </si>
  <si>
    <t>ORIC main RAM</t>
  </si>
  <si>
    <t>RAM Area</t>
  </si>
  <si>
    <t>ORIC overlay RAM</t>
  </si>
  <si>
    <t>LOCI XRAM</t>
  </si>
  <si>
    <t>Directory entries</t>
  </si>
  <si>
    <t>Undo</t>
  </si>
  <si>
    <t>9FFF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</si>
</sst>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0" applyFont="1"/>
    <xf numFmtId="0" fontId="0" fillId="0" borderId="0" xfId="0" quotePrefix="1" applyAlignment="1">
      <alignment horizontal="righ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11B7E-FB95-40EB-8A98-5CDE0B95CB31}">
  <dimension ref="A1:L16"/>
  <sheetViews>
    <sheetView tabSelected="1" workbookViewId="0">
      <selection activeCell="E10" sqref="E10"/>
    </sheetView>
  </sheetViews>
  <sheetFormatPr defaultRowHeight="14.5" x14ac:dyDescent="0.35"/>
  <cols>
    <col min="1" max="1" width="15.7265625" customWidth="1"/>
  </cols>
  <sheetData>
    <row r="1" spans="1:12" x14ac:dyDescent="0.35">
      <c r="A1" t="s">
        <v>0</v>
      </c>
    </row>
    <row r="3" spans="1:12" x14ac:dyDescent="0.35">
      <c r="A3" t="s">
        <v>48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</row>
    <row r="4" spans="1:12" x14ac:dyDescent="0.35">
      <c r="A4" s="4" t="s">
        <v>47</v>
      </c>
      <c r="B4" s="1"/>
      <c r="C4" s="1"/>
      <c r="D4" s="1"/>
      <c r="E4" s="1"/>
      <c r="F4" s="1"/>
      <c r="G4" s="1"/>
    </row>
    <row r="5" spans="1:12" x14ac:dyDescent="0.35">
      <c r="A5" t="s">
        <v>17</v>
      </c>
      <c r="B5" s="1">
        <v>400</v>
      </c>
      <c r="C5" s="1" t="s">
        <v>4</v>
      </c>
      <c r="D5" s="1" t="str">
        <f t="shared" ref="D5:D13" si="0">DEC2HEX(G5,4)</f>
        <v>B000</v>
      </c>
      <c r="E5" s="1">
        <f t="shared" ref="E5:F11" si="1">HEX2DEC(B5)</f>
        <v>1024</v>
      </c>
      <c r="F5" s="1">
        <f t="shared" ref="F5" si="2">HEX2DEC(C5)</f>
        <v>46080</v>
      </c>
      <c r="G5" s="1">
        <f t="shared" ref="G5:G7" si="3">+F5-E5</f>
        <v>45056</v>
      </c>
      <c r="K5">
        <f>+G5-'Memory map old'!G3</f>
        <v>9472</v>
      </c>
      <c r="L5">
        <f>+K5/1024</f>
        <v>9.25</v>
      </c>
    </row>
    <row r="6" spans="1:12" x14ac:dyDescent="0.35">
      <c r="A6" t="s">
        <v>41</v>
      </c>
      <c r="B6" s="1" t="s">
        <v>20</v>
      </c>
      <c r="C6" s="1" t="s">
        <v>4</v>
      </c>
      <c r="D6" s="1" t="str">
        <f t="shared" si="0"/>
        <v>0300</v>
      </c>
      <c r="E6" s="1">
        <f t="shared" si="1"/>
        <v>45312</v>
      </c>
      <c r="F6" s="1">
        <f t="shared" si="1"/>
        <v>46080</v>
      </c>
      <c r="G6" s="1">
        <f t="shared" si="3"/>
        <v>768</v>
      </c>
    </row>
    <row r="7" spans="1:12" x14ac:dyDescent="0.35">
      <c r="A7" t="s">
        <v>42</v>
      </c>
      <c r="B7" s="1" t="s">
        <v>18</v>
      </c>
      <c r="C7" s="1" t="s">
        <v>5</v>
      </c>
      <c r="D7" s="1" t="str">
        <f t="shared" si="0"/>
        <v>0300</v>
      </c>
      <c r="E7" s="1">
        <f t="shared" si="1"/>
        <v>46336</v>
      </c>
      <c r="F7" s="1">
        <f t="shared" si="1"/>
        <v>47104</v>
      </c>
      <c r="G7" s="1">
        <f t="shared" si="3"/>
        <v>768</v>
      </c>
    </row>
    <row r="8" spans="1:12" x14ac:dyDescent="0.35">
      <c r="A8" t="s">
        <v>1</v>
      </c>
      <c r="B8" s="1" t="s">
        <v>6</v>
      </c>
      <c r="C8" s="1" t="str">
        <f t="shared" ref="C6:C8" si="4">+B9</f>
        <v>BFE0</v>
      </c>
      <c r="D8" s="1" t="str">
        <f t="shared" si="0"/>
        <v>0460</v>
      </c>
      <c r="E8" s="1">
        <f t="shared" ref="E6:E9" si="5">HEX2DEC(B8)</f>
        <v>48000</v>
      </c>
      <c r="F8" s="1">
        <f t="shared" ref="F6:F9" si="6">HEX2DEC(C8)</f>
        <v>49120</v>
      </c>
      <c r="G8" s="1">
        <f t="shared" ref="G6:G9" si="7">+F8-E8</f>
        <v>1120</v>
      </c>
      <c r="H8">
        <f>+G8/40</f>
        <v>28</v>
      </c>
      <c r="I8" t="s">
        <v>46</v>
      </c>
    </row>
    <row r="9" spans="1:12" x14ac:dyDescent="0.35">
      <c r="A9" t="s">
        <v>38</v>
      </c>
      <c r="B9" s="1" t="s">
        <v>7</v>
      </c>
      <c r="C9" s="1" t="str">
        <f>+B11</f>
        <v>C000</v>
      </c>
      <c r="D9" s="1" t="str">
        <f t="shared" si="0"/>
        <v>0020</v>
      </c>
      <c r="E9" s="1">
        <f t="shared" si="5"/>
        <v>49120</v>
      </c>
      <c r="F9" s="1">
        <f t="shared" si="6"/>
        <v>49152</v>
      </c>
      <c r="G9" s="1">
        <f t="shared" si="7"/>
        <v>32</v>
      </c>
    </row>
    <row r="10" spans="1:12" x14ac:dyDescent="0.35">
      <c r="A10" s="4" t="s">
        <v>49</v>
      </c>
      <c r="B10" s="1"/>
      <c r="C10" s="1"/>
      <c r="D10" s="1"/>
      <c r="E10" s="1"/>
      <c r="F10" s="1"/>
      <c r="G10" s="1"/>
    </row>
    <row r="11" spans="1:12" x14ac:dyDescent="0.35">
      <c r="A11" t="s">
        <v>16</v>
      </c>
      <c r="B11" s="1" t="s">
        <v>39</v>
      </c>
      <c r="C11" s="1" t="str">
        <f>DEC2HEX(F11,4)</f>
        <v>F4FF</v>
      </c>
      <c r="D11" s="1" t="str">
        <f t="shared" si="0"/>
        <v>3500</v>
      </c>
      <c r="E11" s="1">
        <f t="shared" si="1"/>
        <v>49152</v>
      </c>
      <c r="F11" s="1">
        <f>+E12-1</f>
        <v>62719</v>
      </c>
      <c r="G11" s="1">
        <f>+F11-E11+1</f>
        <v>13568</v>
      </c>
    </row>
    <row r="12" spans="1:12" x14ac:dyDescent="0.35">
      <c r="A12" t="s">
        <v>14</v>
      </c>
      <c r="B12" s="1" t="str">
        <f>DEC2HEX(E12,4)</f>
        <v>F500</v>
      </c>
      <c r="C12" s="1" t="str">
        <f>DEC2HEX(F12,4)</f>
        <v>FCFF</v>
      </c>
      <c r="D12" s="1" t="str">
        <f t="shared" ref="D12" si="8">DEC2HEX(G12,4)</f>
        <v>0800</v>
      </c>
      <c r="E12" s="1">
        <f>+F12-G12+1</f>
        <v>62720</v>
      </c>
      <c r="F12" s="1">
        <f>+E13-1</f>
        <v>64767</v>
      </c>
      <c r="G12" s="1">
        <v>2048</v>
      </c>
    </row>
    <row r="13" spans="1:12" x14ac:dyDescent="0.35">
      <c r="A13" t="s">
        <v>44</v>
      </c>
      <c r="B13" s="1" t="str">
        <f>DEC2HEX(E13,4)</f>
        <v>FD00</v>
      </c>
      <c r="C13" s="1" t="s">
        <v>43</v>
      </c>
      <c r="D13" s="1" t="str">
        <f t="shared" si="0"/>
        <v>0300</v>
      </c>
      <c r="E13" s="1">
        <f>+F13-G13+1</f>
        <v>64768</v>
      </c>
      <c r="F13" s="1">
        <f t="shared" ref="F13" si="9">HEX2DEC(C13)</f>
        <v>65535</v>
      </c>
      <c r="G13" s="1">
        <v>768</v>
      </c>
      <c r="H13">
        <f>+G13/8</f>
        <v>96</v>
      </c>
      <c r="I13" t="s">
        <v>45</v>
      </c>
    </row>
    <row r="14" spans="1:12" x14ac:dyDescent="0.35">
      <c r="A14" s="4" t="s">
        <v>50</v>
      </c>
      <c r="B14" s="1"/>
      <c r="C14" s="1"/>
      <c r="D14" s="1"/>
      <c r="E14" s="1"/>
      <c r="F14" s="1"/>
      <c r="G14" s="1"/>
    </row>
    <row r="15" spans="1:12" x14ac:dyDescent="0.35">
      <c r="A15" t="s">
        <v>51</v>
      </c>
      <c r="B15" s="1">
        <v>8000</v>
      </c>
      <c r="C15" s="1" t="str">
        <f>DEC2HEX(F15,4)</f>
        <v>8BFF</v>
      </c>
      <c r="D15" s="1" t="str">
        <f t="shared" ref="D15" si="10">DEC2HEX(G15,4)</f>
        <v>0C00</v>
      </c>
      <c r="E15" s="1">
        <f t="shared" ref="E15" si="11">HEX2DEC(B15)</f>
        <v>32768</v>
      </c>
      <c r="F15" s="1">
        <f>+E15+G15-1</f>
        <v>35839</v>
      </c>
      <c r="G15" s="1">
        <v>3072</v>
      </c>
    </row>
    <row r="16" spans="1:12" x14ac:dyDescent="0.35">
      <c r="A16" t="s">
        <v>52</v>
      </c>
      <c r="B16" s="1" t="str">
        <f>DEC2HEX(E16,4)</f>
        <v>8C00</v>
      </c>
      <c r="C16" s="5" t="s">
        <v>53</v>
      </c>
      <c r="D16" s="1" t="str">
        <f>DEC2HEX(G16,4)</f>
        <v>1400</v>
      </c>
      <c r="E16">
        <f>+F15+1</f>
        <v>35840</v>
      </c>
      <c r="F16" s="1">
        <f t="shared" ref="F16" si="12">HEX2DEC(C16)</f>
        <v>40959</v>
      </c>
      <c r="G16">
        <f>+F16-E16+1</f>
        <v>5120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B6BA1-A9D9-4906-8EE2-95549A5BEE7A}">
  <dimension ref="A1:H10"/>
  <sheetViews>
    <sheetView workbookViewId="0">
      <selection activeCell="B6" sqref="B6:G7"/>
    </sheetView>
  </sheetViews>
  <sheetFormatPr defaultRowHeight="14.5" x14ac:dyDescent="0.35"/>
  <cols>
    <col min="1" max="1" width="15.7265625" customWidth="1"/>
  </cols>
  <sheetData>
    <row r="1" spans="1:8" x14ac:dyDescent="0.35">
      <c r="A1" t="s">
        <v>0</v>
      </c>
    </row>
    <row r="2" spans="1:8" x14ac:dyDescent="0.35"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8" x14ac:dyDescent="0.35">
      <c r="A3" t="s">
        <v>17</v>
      </c>
      <c r="B3" s="1">
        <v>500</v>
      </c>
      <c r="C3" s="1">
        <f>+B4</f>
        <v>9000</v>
      </c>
      <c r="D3" s="1" t="str">
        <f t="shared" ref="D3:D10" si="0">DEC2HEX(G3,4)</f>
        <v>8B00</v>
      </c>
      <c r="E3" s="1">
        <f t="shared" ref="E3:F10" si="1">HEX2DEC(B3)</f>
        <v>1280</v>
      </c>
      <c r="F3" s="1">
        <f t="shared" si="1"/>
        <v>36864</v>
      </c>
      <c r="G3" s="1">
        <f t="shared" ref="G3:G10" si="2">+F3-E3</f>
        <v>35584</v>
      </c>
    </row>
    <row r="4" spans="1:8" x14ac:dyDescent="0.35">
      <c r="A4" t="s">
        <v>16</v>
      </c>
      <c r="B4" s="1">
        <v>9000</v>
      </c>
      <c r="C4" s="1" t="str">
        <f>+B5</f>
        <v>AA00</v>
      </c>
      <c r="D4" s="1" t="str">
        <f t="shared" si="0"/>
        <v>1A00</v>
      </c>
      <c r="E4" s="1">
        <f t="shared" si="1"/>
        <v>36864</v>
      </c>
      <c r="F4" s="1">
        <f t="shared" si="1"/>
        <v>43520</v>
      </c>
      <c r="G4" s="1">
        <f t="shared" si="2"/>
        <v>6656</v>
      </c>
    </row>
    <row r="5" spans="1:8" x14ac:dyDescent="0.35">
      <c r="A5" t="s">
        <v>14</v>
      </c>
      <c r="B5" s="1" t="s">
        <v>40</v>
      </c>
      <c r="C5" s="1" t="str">
        <f>+B6</f>
        <v>B100</v>
      </c>
      <c r="D5" s="1" t="str">
        <f t="shared" si="0"/>
        <v>0700</v>
      </c>
      <c r="E5" s="1">
        <f t="shared" si="1"/>
        <v>43520</v>
      </c>
      <c r="F5" s="1">
        <f t="shared" si="1"/>
        <v>45312</v>
      </c>
      <c r="G5" s="1">
        <f t="shared" si="2"/>
        <v>1792</v>
      </c>
    </row>
    <row r="6" spans="1:8" x14ac:dyDescent="0.35">
      <c r="A6" t="s">
        <v>15</v>
      </c>
      <c r="B6" s="1" t="s">
        <v>20</v>
      </c>
      <c r="C6" s="1" t="s">
        <v>4</v>
      </c>
      <c r="D6" s="1" t="str">
        <f t="shared" si="0"/>
        <v>0300</v>
      </c>
      <c r="E6" s="1">
        <f t="shared" si="1"/>
        <v>45312</v>
      </c>
      <c r="F6" s="1">
        <f t="shared" si="1"/>
        <v>46080</v>
      </c>
      <c r="G6" s="1">
        <f t="shared" si="2"/>
        <v>768</v>
      </c>
    </row>
    <row r="7" spans="1:8" x14ac:dyDescent="0.35">
      <c r="A7" t="s">
        <v>2</v>
      </c>
      <c r="B7" s="1" t="s">
        <v>18</v>
      </c>
      <c r="C7" s="1" t="s">
        <v>5</v>
      </c>
      <c r="D7" s="1" t="str">
        <f t="shared" si="0"/>
        <v>0300</v>
      </c>
      <c r="E7" s="1">
        <f t="shared" si="1"/>
        <v>46336</v>
      </c>
      <c r="F7" s="1">
        <f t="shared" si="1"/>
        <v>47104</v>
      </c>
      <c r="G7" s="1">
        <f t="shared" si="2"/>
        <v>768</v>
      </c>
      <c r="H7">
        <f>+G7/8</f>
        <v>96</v>
      </c>
    </row>
    <row r="8" spans="1:8" x14ac:dyDescent="0.35">
      <c r="A8" t="s">
        <v>3</v>
      </c>
      <c r="B8" s="1" t="s">
        <v>19</v>
      </c>
      <c r="C8" s="1" t="str">
        <f>+B9</f>
        <v>BB80</v>
      </c>
      <c r="D8" s="1" t="str">
        <f t="shared" si="0"/>
        <v>0280</v>
      </c>
      <c r="E8" s="1">
        <f t="shared" si="1"/>
        <v>47360</v>
      </c>
      <c r="F8" s="1">
        <f t="shared" si="1"/>
        <v>48000</v>
      </c>
      <c r="G8" s="1">
        <f t="shared" si="2"/>
        <v>640</v>
      </c>
      <c r="H8">
        <f>+G8/8</f>
        <v>80</v>
      </c>
    </row>
    <row r="9" spans="1:8" x14ac:dyDescent="0.35">
      <c r="A9" t="s">
        <v>1</v>
      </c>
      <c r="B9" s="1" t="s">
        <v>6</v>
      </c>
      <c r="C9" s="1" t="str">
        <f>+B10</f>
        <v>BFE0</v>
      </c>
      <c r="D9" s="1" t="str">
        <f t="shared" si="0"/>
        <v>0460</v>
      </c>
      <c r="E9" s="1">
        <f t="shared" si="1"/>
        <v>48000</v>
      </c>
      <c r="F9" s="1">
        <f t="shared" si="1"/>
        <v>49120</v>
      </c>
      <c r="G9" s="1">
        <f t="shared" si="2"/>
        <v>1120</v>
      </c>
    </row>
    <row r="10" spans="1:8" x14ac:dyDescent="0.35">
      <c r="A10" t="s">
        <v>38</v>
      </c>
      <c r="B10" s="1" t="s">
        <v>7</v>
      </c>
      <c r="C10" s="1" t="s">
        <v>39</v>
      </c>
      <c r="D10" s="1" t="str">
        <f t="shared" si="0"/>
        <v>0020</v>
      </c>
      <c r="E10" s="1">
        <f t="shared" si="1"/>
        <v>49120</v>
      </c>
      <c r="F10" s="1">
        <f t="shared" si="1"/>
        <v>49152</v>
      </c>
      <c r="G10" s="1">
        <f t="shared" si="2"/>
        <v>32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65ED6-3220-425D-97D8-B8BB54836D97}">
  <dimension ref="A1:AN2"/>
  <sheetViews>
    <sheetView workbookViewId="0">
      <selection activeCell="Y2" sqref="Y2"/>
    </sheetView>
  </sheetViews>
  <sheetFormatPr defaultRowHeight="14.5" x14ac:dyDescent="0.35"/>
  <cols>
    <col min="1" max="40" width="5.7265625" style="2" customWidth="1"/>
  </cols>
  <sheetData>
    <row r="1" spans="1:40" x14ac:dyDescent="0.3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</row>
    <row r="2" spans="1:40" x14ac:dyDescent="0.35">
      <c r="A2" s="2" t="s">
        <v>21</v>
      </c>
      <c r="B2" s="2" t="s">
        <v>22</v>
      </c>
      <c r="C2" s="2" t="s">
        <v>25</v>
      </c>
      <c r="D2" s="2" t="s">
        <v>24</v>
      </c>
      <c r="E2" s="2" t="s">
        <v>26</v>
      </c>
      <c r="F2" s="2" t="s">
        <v>27</v>
      </c>
      <c r="G2" s="3" t="s">
        <v>28</v>
      </c>
      <c r="H2" s="3" t="s">
        <v>28</v>
      </c>
      <c r="I2" s="3" t="s">
        <v>28</v>
      </c>
      <c r="J2" s="3" t="s">
        <v>28</v>
      </c>
      <c r="K2" s="3" t="s">
        <v>28</v>
      </c>
      <c r="L2" s="3" t="s">
        <v>28</v>
      </c>
      <c r="M2" s="2" t="s">
        <v>29</v>
      </c>
      <c r="N2" s="2" t="s">
        <v>30</v>
      </c>
      <c r="O2" s="3" t="s">
        <v>28</v>
      </c>
      <c r="P2" s="3" t="s">
        <v>28</v>
      </c>
      <c r="Q2" s="2" t="s">
        <v>31</v>
      </c>
      <c r="R2" s="3" t="s">
        <v>28</v>
      </c>
      <c r="S2" s="3" t="s">
        <v>28</v>
      </c>
      <c r="T2" s="3"/>
      <c r="U2" s="2" t="s">
        <v>32</v>
      </c>
      <c r="V2" s="3" t="s">
        <v>28</v>
      </c>
      <c r="W2" s="3" t="s">
        <v>28</v>
      </c>
      <c r="X2" s="3" t="s">
        <v>33</v>
      </c>
      <c r="Z2" s="2" t="s">
        <v>35</v>
      </c>
      <c r="AA2" s="3" t="s">
        <v>28</v>
      </c>
      <c r="AB2" s="3" t="s">
        <v>28</v>
      </c>
      <c r="AD2" s="2" t="s">
        <v>34</v>
      </c>
      <c r="AE2" s="3" t="s">
        <v>28</v>
      </c>
      <c r="AF2" s="3" t="s">
        <v>33</v>
      </c>
      <c r="AG2" s="3" t="s">
        <v>33</v>
      </c>
      <c r="AH2" s="2" t="s">
        <v>23</v>
      </c>
      <c r="AI2" s="3" t="s">
        <v>28</v>
      </c>
      <c r="AJ2" s="3" t="s">
        <v>33</v>
      </c>
      <c r="AK2" s="3" t="s">
        <v>33</v>
      </c>
      <c r="AL2" s="2" t="s">
        <v>35</v>
      </c>
      <c r="AM2" s="2" t="s">
        <v>36</v>
      </c>
      <c r="AN2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Memory map</vt:lpstr>
      <vt:lpstr>Memory map old</vt:lpstr>
      <vt:lpstr>Status bar 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Xander Mol</dc:creator>
  <cp:lastModifiedBy>Xander Mol</cp:lastModifiedBy>
  <dcterms:created xsi:type="dcterms:W3CDTF">2022-06-04T13:04:26Z</dcterms:created>
  <dcterms:modified xsi:type="dcterms:W3CDTF">2025-01-23T12:32:20Z</dcterms:modified>
</cp:coreProperties>
</file>